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Übersicht" sheetId="1" state="visible" r:id="rId3"/>
    <sheet name="01_VoC_Daten" sheetId="2" state="visible" r:id="rId4"/>
    <sheet name="02_Priorisierung" sheetId="3" state="visible" r:id="rId5"/>
    <sheet name="03_Benchmark" sheetId="4" state="visible" r:id="rId6"/>
    <sheet name="04_Perception_Gap" sheetId="5" state="visible" r:id="rId7"/>
    <sheet name="05_Massnahmen_Tracker" sheetId="6" state="visible" r:id="rId8"/>
    <sheet name="06_Wirkungsmessung" sheetId="7" state="visible" r:id="rId9"/>
    <sheet name="07_Quelle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<sst xmlns="http://schemas.openxmlformats.org/spreadsheetml/2006/main" count="358" uniqueCount="278">
  <si>
    <t xml:space="preserve">Allianz Suisse — Customer Experience &amp; Perception</t>
  </si>
  <si>
    <t xml:space="preserve">Voice-of-Customer &amp; Perception-Gap-Analyse · Datenbasis: öffentliche Quellen · Stand 2026-06-16</t>
  </si>
  <si>
    <t xml:space="preserve">Management Summary</t>
  </si>
  <si>
    <t xml:space="preserve">Allianz Suisse wird in repräsentativen Befragungen als solide, aber durchgehend hinter Marktführer Mobiliar wahrgenommen (comparis 2025 Silber 5.1 vs. Gold 5.3; bonus.ch 2026 Hausrat letzter Platz 11/11; NPS +8 vs. +45, Stand 2017–19). In unaufgeforderten Kanälen (Trustpilot 1.5/5) ist das Bild deutlich negativer — selbstselektiv, aber aufschlussreich. Vier Pain Points tauchen in BEIDEN Ebenen auf und widersprechen direkt dem Markenversprechen: Schadenfall, Erreichbarkeit, Preis-Leistung, Digitalisierung.</t>
  </si>
  <si>
    <t xml:space="preserve">Kennzahlen auf einen Blick</t>
  </si>
  <si>
    <t xml:space="preserve">Trustpilot allianz.ch</t>
  </si>
  <si>
    <t xml:space="preserve">comparis 2025</t>
  </si>
  <si>
    <t xml:space="preserve">bonus.ch 2026 Hausrat</t>
  </si>
  <si>
    <t xml:space="preserve">1.5 / 5</t>
  </si>
  <si>
    <t xml:space="preserve">Silber 5.1</t>
  </si>
  <si>
    <t xml:space="preserve">Platz 11/11</t>
  </si>
  <si>
    <t xml:space="preserve">~239 Reviews · unaufgefordert, verzerrt</t>
  </si>
  <si>
    <t xml:space="preserve">Auto &amp; Hausrat · Mobiliar Gold 5.3</t>
  </si>
  <si>
    <t xml:space="preserve">letzter; Weiterempfehlung 84% vs. 96%</t>
  </si>
  <si>
    <t xml:space="preserve">checkall Preis-Leistung</t>
  </si>
  <si>
    <t xml:space="preserve">NPS-Rückstand (2017–19)</t>
  </si>
  <si>
    <t xml:space="preserve">checkall Gesamt (Umfrage)</t>
  </si>
  <si>
    <t xml:space="preserve">4.0 / 5</t>
  </si>
  <si>
    <t xml:space="preserve">+8 vs. +45</t>
  </si>
  <si>
    <t xml:space="preserve">4.2 / 5</t>
  </si>
  <si>
    <t xml:space="preserve">schwächste Dimension</t>
  </si>
  <si>
    <t xml:space="preserve">~37 Punkte hinter Mobiliar</t>
  </si>
  <si>
    <t xml:space="preserve">‚gut‘ · &gt;5'400 Teilnehmende</t>
  </si>
  <si>
    <t xml:space="preserve">Inhalt der Arbeitsmappe</t>
  </si>
  <si>
    <t xml:space="preserve">01_VoC_Daten</t>
  </si>
  <si>
    <t xml:space="preserve">Kodierte Kundenfeedbacks (Thema, Phase, Sentiment, Frequenz, Impact)</t>
  </si>
  <si>
    <t xml:space="preserve">02_Priorisierung</t>
  </si>
  <si>
    <t xml:space="preserve">Pain-Point-Priorisierung (Frequenz × Impact) + Quick-Win-Logik</t>
  </si>
  <si>
    <t xml:space="preserve">03_Benchmark</t>
  </si>
  <si>
    <t xml:space="preserve">Wettbewerbsvergleich Zufriedenheit &amp; NPS</t>
  </si>
  <si>
    <t xml:space="preserve">04_Perception_Gap</t>
  </si>
  <si>
    <t xml:space="preserve">Markenversprechen vs. erlebte Realität</t>
  </si>
  <si>
    <t xml:space="preserve">05_Massnahmen_Tracker</t>
  </si>
  <si>
    <t xml:space="preserve">Massnahmen + Wirkungsmessung (Baseline → Ziel → Ist)</t>
  </si>
  <si>
    <t xml:space="preserve">06_Wirkungsmessung</t>
  </si>
  <si>
    <t xml:space="preserve">KPI-Framework (NPS / CSAT / CES) &amp; Tracking-Logik</t>
  </si>
  <si>
    <t xml:space="preserve">07_Quellen</t>
  </si>
  <si>
    <t xml:space="preserve">Quellenverzeichnis mit Konfidenz</t>
  </si>
  <si>
    <t xml:space="preserve">Voice of Customer — kodierte Pain Points</t>
  </si>
  <si>
    <t xml:space="preserve">Frequenz &amp; Impact auf Skala 1–5. ‚In beiden Ebenen‘ = erscheint sowohl in repräsentativen Befragungen als auch in Beschwerdekanälen (= belastbares Signal).</t>
  </si>
  <si>
    <t xml:space="preserve">ID</t>
  </si>
  <si>
    <t xml:space="preserve">Pain Point</t>
  </si>
  <si>
    <t xml:space="preserve">Journey-Phase</t>
  </si>
  <si>
    <t xml:space="preserve">Sentiment</t>
  </si>
  <si>
    <t xml:space="preserve">Frequenz</t>
  </si>
  <si>
    <t xml:space="preserve">Impact</t>
  </si>
  <si>
    <t xml:space="preserve">Aufwand</t>
  </si>
  <si>
    <t xml:space="preserve">Priorität (F×I)</t>
  </si>
  <si>
    <t xml:space="preserve">Beide Ebenen</t>
  </si>
  <si>
    <t xml:space="preserve">Verletztes Versprechen</t>
  </si>
  <si>
    <t xml:space="preserve">Beispielzitat</t>
  </si>
  <si>
    <t xml:space="preserve">Belege</t>
  </si>
  <si>
    <t xml:space="preserve">P1</t>
  </si>
  <si>
    <t xml:space="preserve">Schadenfall: Verzögerung, fragwürdige Ablehnungen, verspätete Auszahlung</t>
  </si>
  <si>
    <t xml:space="preserve">Schadenfall</t>
  </si>
  <si>
    <t xml:space="preserve">negativ</t>
  </si>
  <si>
    <t xml:space="preserve">Ja</t>
  </si>
  <si>
    <t xml:space="preserve">‚Im Schadenfall für Sie da. 7 Tage. 24 Stunden.‘ / ‚Ihr Sicherheitsnetz‘</t>
  </si>
  <si>
    <t xml:space="preserve">2 Monate nach dem Unfall mit Vollkasko und 6 Wochen nach Unterschrift habe ich noch immer kein Geld für mein Totalschaden-Auto gesehen.</t>
  </si>
  <si>
    <t xml:space="preserve">Trustpilot, checkall.ch, bonus.ch</t>
  </si>
  <si>
    <t xml:space="preserve">P2</t>
  </si>
  <si>
    <t xml:space="preserve">Erreichbarkeit &amp; Reaktionszeit: Hotline, E-Mail, Rückrufe</t>
  </si>
  <si>
    <t xml:space="preserve">Laufender Service/Vertragsänderung</t>
  </si>
  <si>
    <t xml:space="preserve">‚zuverlässige Partnerin‘ / ‚Sicherheitsnetz‘</t>
  </si>
  <si>
    <t xml:space="preserve">Endlose Telefonwarteschlange, immer wieder leere Versprechungen.</t>
  </si>
  <si>
    <t xml:space="preserve">Trustpilot, checkall.ch</t>
  </si>
  <si>
    <t xml:space="preserve">P3</t>
  </si>
  <si>
    <t xml:space="preserve">Preis-Leistung &amp; Prämienerhöhungen: als unverhältnismässig empfunden</t>
  </si>
  <si>
    <t xml:space="preserve">Prämien/Rechnung</t>
  </si>
  <si>
    <t xml:space="preserve">‚echte Mehrwerte für unsere Kundinnen und Kunden‘</t>
  </si>
  <si>
    <t xml:space="preserve">Der Kundendienst erklärte, dass 10% Prämienerhöhung normal seien — bei einer Inflation von nur 2,1%.</t>
  </si>
  <si>
    <t xml:space="preserve">checkall.ch, bonus.ch, Trustpilot</t>
  </si>
  <si>
    <t xml:space="preserve">P4</t>
  </si>
  <si>
    <t xml:space="preserve">Digitale Einfachheit: keine dedizierte CH-App, schwaches Self-Service-Portal</t>
  </si>
  <si>
    <t xml:space="preserve">Digital/App</t>
  </si>
  <si>
    <t xml:space="preserve">‚einfache Lösungen‘ / Konzern-Strategie ‚Simplicity wins‘</t>
  </si>
  <si>
    <t xml:space="preserve">Digitalisierung bei der Allianz leider absolut ungenügend.</t>
  </si>
  <si>
    <t xml:space="preserve">App-Store-Recherche, Trustpilot</t>
  </si>
  <si>
    <t xml:space="preserve">P5</t>
  </si>
  <si>
    <t xml:space="preserve">Beratung/Offerte: Überversprechen &amp; Verkaufsdruck beim Abschluss</t>
  </si>
  <si>
    <t xml:space="preserve">Offerte/Beratung</t>
  </si>
  <si>
    <t xml:space="preserve">—</t>
  </si>
  <si>
    <t xml:space="preserve">‚bedarfsgerechte, ehrliche Beratung‘ / Vertrauen</t>
  </si>
  <si>
    <t xml:space="preserve">Der Berater hat versprochen, dass gewisse Dinge gedeckt seien — reine Lügen, nur damit er den Vertrag abschliessen konnte.</t>
  </si>
  <si>
    <t xml:space="preserve">Trustpilot</t>
  </si>
  <si>
    <t xml:space="preserve">P6</t>
  </si>
  <si>
    <t xml:space="preserve">Vertragsausstieg &amp; Retention: Kündigungen ignoriert, Nachforderungen, Inkasso ohne Vorkontakt</t>
  </si>
  <si>
    <t xml:space="preserve">Verlängerung/Kündigung</t>
  </si>
  <si>
    <t xml:space="preserve">‚zuverlässige Partnerin‘</t>
  </si>
  <si>
    <t xml:space="preserve">Ich versuche seit Wochen meinen Vertrag zu kündigen … werde aber geflissentlich ignoriert.</t>
  </si>
  <si>
    <t xml:space="preserve">POS1</t>
  </si>
  <si>
    <t xml:space="preserve">Positiver Gegenpol: kompetente persönliche Beratung &amp; einzelne reibungslose Schadenfälle</t>
  </si>
  <si>
    <t xml:space="preserve">positiv</t>
  </si>
  <si>
    <t xml:space="preserve">Das Personal der Schadensabteilung ist sehr freundlich und hilfsbereit.</t>
  </si>
  <si>
    <t xml:space="preserve">checkall.ch, Trustpilot</t>
  </si>
  <si>
    <t xml:space="preserve">Pain-Point-Priorisierung</t>
  </si>
  <si>
    <t xml:space="preserve">Priorität = Frequenz × Impact (max. 25). Quick Win = hohe Priorität bei geringem Aufwand. Werte verlinkt aus ‚01_VoC_Daten‘.</t>
  </si>
  <si>
    <t xml:space="preserve">Priorität</t>
  </si>
  <si>
    <t xml:space="preserve">Rang</t>
  </si>
  <si>
    <t xml:space="preserve">Klassifikation</t>
  </si>
  <si>
    <t xml:space="preserve">Empf. Sequenz</t>
  </si>
  <si>
    <t xml:space="preserve">Lesehilfe Priorisierungsmatrix</t>
  </si>
  <si>
    <t xml:space="preserve">Top-Priorität</t>
  </si>
  <si>
    <t xml:space="preserve">Hohe Frequenz UND hoher Impact — zuerst angehen.</t>
  </si>
  <si>
    <t xml:space="preserve">Quick Win</t>
  </si>
  <si>
    <t xml:space="preserve">Hohe Wirkung bei geringem Aufwand — schnelle Erfolge.</t>
  </si>
  <si>
    <t xml:space="preserve">Strategisch</t>
  </si>
  <si>
    <t xml:space="preserve">Hoher Impact, höherer Aufwand — als Programm planen.</t>
  </si>
  <si>
    <t xml:space="preserve">Mittel</t>
  </si>
  <si>
    <t xml:space="preserve">Beobachten und bündeln.</t>
  </si>
  <si>
    <t xml:space="preserve">Wettbewerbs-Benchmark</t>
  </si>
  <si>
    <t xml:space="preserve">Autoversicherung — Zufriedenheit (comparis 2025, Skala 1–6)</t>
  </si>
  <si>
    <t xml:space="preserve">1–6 · Gold ab 5.2</t>
  </si>
  <si>
    <t xml:space="preserve">Anbieter</t>
  </si>
  <si>
    <t xml:space="preserve">NOTE</t>
  </si>
  <si>
    <t xml:space="preserve">Abstand zu Mobiliar</t>
  </si>
  <si>
    <t xml:space="preserve">Mobiliar</t>
  </si>
  <si>
    <t xml:space="preserve">Vaudoise</t>
  </si>
  <si>
    <t xml:space="preserve">Smile</t>
  </si>
  <si>
    <t xml:space="preserve">Zurich</t>
  </si>
  <si>
    <t xml:space="preserve">Allianz</t>
  </si>
  <si>
    <t xml:space="preserve">AXA</t>
  </si>
  <si>
    <t xml:space="preserve">Hausrat/Haftpflicht — Zufriedenheit (bonus.ch 2026, Skala 1–6)</t>
  </si>
  <si>
    <t xml:space="preserve">1–6 · Allianz = letzter Platz</t>
  </si>
  <si>
    <t xml:space="preserve">Helvetia</t>
  </si>
  <si>
    <t xml:space="preserve">Generali</t>
  </si>
  <si>
    <t xml:space="preserve">Net Promoter Score (Bain / HZ Insurance, Stand 2017–19)</t>
  </si>
  <si>
    <t xml:space="preserve">-100 bis +100</t>
  </si>
  <si>
    <t xml:space="preserve">NPS</t>
  </si>
  <si>
    <t xml:space="preserve">Branchenschnitt</t>
  </si>
  <si>
    <t xml:space="preserve">Weiterempfehlungsrate (bonus.ch 2026, %)</t>
  </si>
  <si>
    <t xml:space="preserve">%</t>
  </si>
  <si>
    <t xml:space="preserve">WERT</t>
  </si>
  <si>
    <t xml:space="preserve">Perception Gap — Versprechen vs. Realität</t>
  </si>
  <si>
    <t xml:space="preserve">Wo das öffentlich kommunizierte Markenversprechen am stärksten von der erlebten Realität abweicht.</t>
  </si>
  <si>
    <t xml:space="preserve">Thema</t>
  </si>
  <si>
    <t xml:space="preserve">Markenversprechen</t>
  </si>
  <si>
    <t xml:space="preserve">Erlebte Realität</t>
  </si>
  <si>
    <t xml:space="preserve">Gap</t>
  </si>
  <si>
    <t xml:space="preserve">Beleg Realität</t>
  </si>
  <si>
    <t xml:space="preserve">Schadenfall / Moment of Truth</t>
  </si>
  <si>
    <t xml:space="preserve">‚Im Schadenfall für Sie da. 7 Tage. 24 Stunden.‘</t>
  </si>
  <si>
    <t xml:space="preserve">Häufigstes Beschwerdethema: verzögerte/abgelehnte Schäden, ausbleibende Auszahlung, fehlende Empathie.</t>
  </si>
  <si>
    <t xml:space="preserve">GROSS</t>
  </si>
  <si>
    <t xml:space="preserve">Erreichbarkeit / Verlässlichkeit</t>
  </si>
  <si>
    <t xml:space="preserve">‚Ihr Sicherheitsnetz‘, ‚zuverlässige Partnerin‘</t>
  </si>
  <si>
    <t xml:space="preserve">Lange Warteschlangen, unbeantwortete Mails, nicht eingehaltene Rückrufversprechen.</t>
  </si>
  <si>
    <t xml:space="preserve">Einfachheit / Digitalisierung</t>
  </si>
  <si>
    <t xml:space="preserve">‚einfache Lösungen und echte Mehrwerte‘; Konzern: ‚Simplicity wins‘</t>
  </si>
  <si>
    <t xml:space="preserve">Keine bewertete dedizierte CH-App auffindbar (Mobiliar hat eine); ‚per Post wie im Mittelalter‘.</t>
  </si>
  <si>
    <t xml:space="preserve">Preis-Leistung / Mehrwert</t>
  </si>
  <si>
    <t xml:space="preserve">Preis-Leistung ist die plattformübergreifend schwächste Dimension (checkall 4.0; bonus letzter Platz).</t>
  </si>
  <si>
    <t xml:space="preserve">MITTEL-GROSS</t>
  </si>
  <si>
    <t xml:space="preserve">checkall.ch, bonus.ch</t>
  </si>
  <si>
    <t xml:space="preserve">Kundenloyalität / NPS-Anspruch</t>
  </si>
  <si>
    <t xml:space="preserve">Ziel ‚NPS Loyalty Leader‘ (75 %+ bis 2027); ausgezeichnet als ‚Best Customer-Centric Culture‘ 2024</t>
  </si>
  <si>
    <t xml:space="preserve">NPS +8 vs. Mobiliar +45 (~37 Punkte Rückstand, Stand 2017–2019); bonus.ch Weiterempfehlung 84% vs. 96%.</t>
  </si>
  <si>
    <t xml:space="preserve">Bain/HZ Insurance; bonus.ch 2026</t>
  </si>
  <si>
    <t xml:space="preserve">Massnahmen-Tracker &amp; Wirkungsmessung</t>
  </si>
  <si>
    <t xml:space="preserve">Gelbe Felder = intern zu befüllen (Baseline/Ziel/Ist + Owner). Zielerreichung wird automatisch berechnet. Status per Dropdown.</t>
  </si>
  <si>
    <t xml:space="preserve">Massnahme</t>
  </si>
  <si>
    <t xml:space="preserve">Typ</t>
  </si>
  <si>
    <t xml:space="preserve">Leit-KPI</t>
  </si>
  <si>
    <t xml:space="preserve">Baseline</t>
  </si>
  <si>
    <t xml:space="preserve">Zielwert</t>
  </si>
  <si>
    <t xml:space="preserve">Ist (aktuell)</t>
  </si>
  <si>
    <t xml:space="preserve">Zielerreichung</t>
  </si>
  <si>
    <t xml:space="preserve">Status</t>
  </si>
  <si>
    <t xml:space="preserve">Owner</t>
  </si>
  <si>
    <t xml:space="preserve">Horizont</t>
  </si>
  <si>
    <t xml:space="preserve">M1</t>
  </si>
  <si>
    <t xml:space="preserve">Schaden-Versprechen einlösen: proaktive Status-Kommunikation &amp; Closed Loop</t>
  </si>
  <si>
    <t xml:space="preserve">Strategisch (mit Quick-Win-Anteil Kommunikation)</t>
  </si>
  <si>
    <t xml:space="preserve">Schaden-CSAT · Schaden-NPS · Ø Bearbeitungsdauer · % Erstrückmeldung &lt;48h</t>
  </si>
  <si>
    <t xml:space="preserve">Offen</t>
  </si>
  <si>
    <t xml:space="preserve">0–12 Monate</t>
  </si>
  <si>
    <t xml:space="preserve">M2</t>
  </si>
  <si>
    <t xml:space="preserve">Erreichbarkeit spürbar verbessern (Callback, SLA, KI-Triage)</t>
  </si>
  <si>
    <t xml:space="preserve">CES Service · Ø Wartezeit Telefon · Erreichbarkeitsquote · E-Mail-Antwortzeit</t>
  </si>
  <si>
    <t xml:space="preserve">0–6 Monate</t>
  </si>
  <si>
    <t xml:space="preserve">M3</t>
  </si>
  <si>
    <t xml:space="preserve">Prämienanpassungen proaktiv &amp; verständlich erklären (Value statt Preis)</t>
  </si>
  <si>
    <t xml:space="preserve">CSAT nach Prämienkommunikation · Dimension Preis-Leistung (checkall/bonus) · Churn nach Prämienanpassung</t>
  </si>
  <si>
    <t xml:space="preserve">0–9 Monate</t>
  </si>
  <si>
    <t xml:space="preserve">M4</t>
  </si>
  <si>
    <t xml:space="preserve">‚Simplicity wins‘ lokal einlösen: dedizierte CH-App &amp; Portal-Ausbau</t>
  </si>
  <si>
    <t xml:space="preserve">App-/Portal-Adoption · CES Digital · Self-Service-Quote · App-Store-Rating CH</t>
  </si>
  <si>
    <t xml:space="preserve">6–18 Monate</t>
  </si>
  <si>
    <t xml:space="preserve">M5</t>
  </si>
  <si>
    <t xml:space="preserve">Beratungsqualität &amp; Transparenz: Mis-Selling reduzieren</t>
  </si>
  <si>
    <t xml:space="preserve">CSAT Beratung/Onboarding · Beschwerdequote Beratung · Frühstorno-Quote</t>
  </si>
  <si>
    <t xml:space="preserve">3–12 Monate</t>
  </si>
  <si>
    <t xml:space="preserve">Beispiel-Zeitreihe (illustrativ) — KPI-Verlauf für Wirkungsmessung</t>
  </si>
  <si>
    <t xml:space="preserve">Difference-in-Differences-Logik: Zielmetrik über Zeit, Treatment vs. Kontrollgruppe. Werte intern befüllen.</t>
  </si>
  <si>
    <t xml:space="preserve">Quartal</t>
  </si>
  <si>
    <t xml:space="preserve">Q1</t>
  </si>
  <si>
    <t xml:space="preserve">Q2</t>
  </si>
  <si>
    <t xml:space="preserve">Q3</t>
  </si>
  <si>
    <t xml:space="preserve">Q4</t>
  </si>
  <si>
    <t xml:space="preserve">Δ ggü. Baseline</t>
  </si>
  <si>
    <t xml:space="preserve">Schaden-CSAT (Treatment)</t>
  </si>
  <si>
    <t xml:space="preserve">Schaden-CSAT (Kontrolle)</t>
  </si>
  <si>
    <t xml:space="preserve">Netto-Effekt (DiD)</t>
  </si>
  <si>
    <t xml:space="preserve">Wirkungsmessungs-Framework</t>
  </si>
  <si>
    <t xml:space="preserve">Dachmetrik</t>
  </si>
  <si>
    <t xml:space="preserve">NPS (relational, periodisch) — Anschluss an Konzernziel ‚Loyalty Leader‘</t>
  </si>
  <si>
    <t xml:space="preserve">Metrik</t>
  </si>
  <si>
    <t xml:space="preserve">Definition</t>
  </si>
  <si>
    <t xml:space="preserve">Einsatz in Journey-Phasen</t>
  </si>
  <si>
    <t xml:space="preserve">CSAT</t>
  </si>
  <si>
    <t xml:space="preserve">Zufriedenheit mit konkreter Interaktion (Top-2-Box, Skala 1–5)</t>
  </si>
  <si>
    <t xml:space="preserve">Beratung, Abschluss, Onboarding, Schadenfall</t>
  </si>
  <si>
    <t xml:space="preserve">CES</t>
  </si>
  <si>
    <t xml:space="preserve">Mühelosigkeit (‚leicht gemacht‘, Skala 1–7; Gut ≥5.5)</t>
  </si>
  <si>
    <t xml:space="preserve">Laufender Service, Vertragsänderung, Schadenmeldung, Digital/App</t>
  </si>
  <si>
    <t xml:space="preserve">Closed-Loop-Feedback</t>
  </si>
  <si>
    <t xml:space="preserve">Inner Loop</t>
  </si>
  <si>
    <t xml:space="preserve">1:1-Rückkontakt bei negativem Feedback &lt;48h (v.a. Schaden/Service) — Problem lösen, Churn verhindern.</t>
  </si>
  <si>
    <t xml:space="preserve">Outer Loop</t>
  </si>
  <si>
    <t xml:space="preserve">Aggregierte Mustererkennung → systemische Prozess-/Produktverbesserungen.</t>
  </si>
  <si>
    <t xml:space="preserve">Wirkungslogik (5 Schritte)</t>
  </si>
  <si>
    <t xml:space="preserve">1. Baseline der Zielmetrik vor Massnahme erheben</t>
  </si>
  <si>
    <t xml:space="preserve">2. Konkreten Zielwert + Zeithorizont definieren</t>
  </si>
  <si>
    <t xml:space="preserve">3. Kontrollgruppe / Difference-in-Differences zur Effekt-Isolierung</t>
  </si>
  <si>
    <t xml:space="preserve">4. Zeitreihe statt Punktmessung (Saisonalität)</t>
  </si>
  <si>
    <t xml:space="preserve">5. Verknüpfung mit Geschäfts-KPIs: Retention/Churn, Schadenkosten, Cost-to-Serve</t>
  </si>
  <si>
    <t xml:space="preserve">Priorisierungsmethode: Pain-Point-Score = Frequenz × Impact (Heatmap), Effort separat für Quick-Win-/Strategisch-Sequenzierung (ergänzend RICE).</t>
  </si>
  <si>
    <t xml:space="preserve">Quellenverzeichnis &amp; Konfidenz</t>
  </si>
  <si>
    <t xml:space="preserve">Quelle</t>
  </si>
  <si>
    <t xml:space="preserve">Metrik / Beitrag</t>
  </si>
  <si>
    <t xml:space="preserve">Wert</t>
  </si>
  <si>
    <t xml:space="preserve">Ebene</t>
  </si>
  <si>
    <t xml:space="preserve">Konfidenz</t>
  </si>
  <si>
    <t xml:space="preserve">URL</t>
  </si>
  <si>
    <t xml:space="preserve">Trustpilot (allianz.ch)</t>
  </si>
  <si>
    <t xml:space="preserve">TrustScore</t>
  </si>
  <si>
    <t xml:space="preserve">unaufgefordert (verzerrt)</t>
  </si>
  <si>
    <t xml:space="preserve">hoch für 1.5 &amp; 239; mittel für Verteilung (~86% 1-Stern, ~11% 5-Stern)</t>
  </si>
  <si>
    <t xml:space="preserve">https://www.trustpilot.com/review/allianz.ch</t>
  </si>
  <si>
    <t xml:space="preserve">comparis.ch Kundenzufriedenheit 2025 (Innofact, ~4'500 Befragte)</t>
  </si>
  <si>
    <t xml:space="preserve">Zufriedenheitsnote / Siegel</t>
  </si>
  <si>
    <t xml:space="preserve">Auto 5.1 (Silber), Hausrat/Haftpflicht 5.1 (Silber)</t>
  </si>
  <si>
    <t xml:space="preserve">repräsentativ</t>
  </si>
  <si>
    <t xml:space="preserve">hoch für Hausrat 5.1; mittel für Auto (als ‚leicht unter 5.2-Gruppe‘ belegt, exakter Auto-Wert abgeleitet)</t>
  </si>
  <si>
    <t xml:space="preserve">https://www.watson.ch/schweiz/auto/753195428-ranking-so-zufrieden-sind-schweizer-mit-ihren-versicherungen</t>
  </si>
  <si>
    <t xml:space="preserve">bonus.ch Zufriedenheitsumfrage 2026</t>
  </si>
  <si>
    <t xml:space="preserve">Note Kundenzufriedenheit</t>
  </si>
  <si>
    <t xml:space="preserve">Auto 5.2 (Platz 5/11, = Branchenschnitt), Hausrat/Haftpflicht 5.1 (LETZTER, 11/11)</t>
  </si>
  <si>
    <t xml:space="preserve">hoch (Original-PDF); separat gegenzuprüfen vor finaler Nutzung</t>
  </si>
  <si>
    <t xml:space="preserve">https://www.bonus.ch/Pdf/2026/Hausratversicherung.pdf</t>
  </si>
  <si>
    <t xml:space="preserve">checkall.ch Branchenumfrage (&gt;5'400 Teilnehmende)</t>
  </si>
  <si>
    <t xml:space="preserve">Gesamtnote Kundenzufriedenheit</t>
  </si>
  <si>
    <t xml:space="preserve">4.2 (‚gut‘)</t>
  </si>
  <si>
    <t xml:space="preserve">hoch</t>
  </si>
  <si>
    <t xml:space="preserve">https://www.checkall.ch/de/versicherung/versicherungsunternehmen/allianz</t>
  </si>
  <si>
    <t xml:space="preserve">checkall.ch Dimensionsnoten Allianz</t>
  </si>
  <si>
    <t xml:space="preserve">Dimensionsnoten</t>
  </si>
  <si>
    <t xml:space="preserve">Information/Kommunikation/Transparenz 4.3 · Service 4.1 · Preis-Leistung 4.0 · Kontaktbequemlichkeit 4.3</t>
  </si>
  <si>
    <t xml:space="preserve">Schweizer Branchenmonitor 2025 (SIQT / qualitaetstest.ch)</t>
  </si>
  <si>
    <t xml:space="preserve">Kundenzufriedenheit (0–10)</t>
  </si>
  <si>
    <t xml:space="preserve">Allianz NICHT in Top 5 (keiner Kernsparte)</t>
  </si>
  <si>
    <t xml:space="preserve">https://www.qualitaetstest.ch/awards/schweizer-branchenmonitor/schweizer-branchenmonitor-2025-geld-banken-versicherungen/</t>
  </si>
  <si>
    <t xml:space="preserve">Bain &amp; Company / HZ Insurance — NPS Schweiz</t>
  </si>
  <si>
    <t xml:space="preserve">Net Promoter Score</t>
  </si>
  <si>
    <t xml:space="preserve">Allianz +8 · Mobiliar +45 · Branchenschnitt ~+18</t>
  </si>
  <si>
    <t xml:space="preserve">hoch für Werte; Aktualität niedrig — als Stand 2017–2019 kennzeichnen</t>
  </si>
  <si>
    <t xml:space="preserve">https://www.hzinsurance.ch/insurance/kundenmanagement-net-promoter-score-die-assekuranz-holt-auf</t>
  </si>
  <si>
    <t xml:space="preserve">moneyland.ch / Ipsos Zufriedenheitsumfrage 2025 (~1'500 Befragte)</t>
  </si>
  <si>
    <t xml:space="preserve">Kundenzufriedenheit gesamt (0–10)</t>
  </si>
  <si>
    <t xml:space="preserve">Allianz nicht in publizierten Top-Rängen</t>
  </si>
  <si>
    <t xml:space="preserve">mittel (Seite blockt Direktabruf)</t>
  </si>
  <si>
    <t xml:space="preserve">https://www.moneyland.ch/en/swiss-insurance-customer-satisfaction-survey-2025</t>
  </si>
  <si>
    <t xml:space="preserve">Datenlücken &amp; Caveats</t>
  </si>
  <si>
    <t xml:space="preserve">• Keine bewertete dedizierte Allianz-Suisse-Endkunden-App im CH-App-Store/Play auffindbar (historische ‚myAllianz‘ seit 2019 depubliziert) — eigenständiger Befund (Wettbewerber Mobiliar hat eine).</t>
  </si>
  <si>
    <t xml:space="preserve">• Reddit/comparis-Forum/X für den Crawler nicht zugänglich — ungefiltertes Social-Feedback unvollständig.</t>
  </si>
  <si>
    <t xml:space="preserve">• Interne NPS/CSAT/CES-Werte nicht öffentlich — öffentliche Befragungen dienen als Proxy/Hypothese, intern zu validieren.</t>
  </si>
  <si>
    <t xml:space="preserve">• Bain-NPS-Einzelwerte stammen aus 2017–2019; bonus.ch-2026- und moneyland-2025-Werte vor finaler Präsentationsnutzung separat gegenprüfen.</t>
  </si>
  <si>
    <t xml:space="preserve">Disclaimer: Eigenständiges Bewerbungsprojekt auf Basis öffentlich zugänglicher Daten. Kein offizielles Allianz-Dokument. Konstruktive Absicht.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</si>
</sst>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+0.0;\-0.0;0.0"/>
    <numFmt numFmtId="167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D6E4F2"/>
      <name val="Arial"/>
      <family val="0"/>
      <charset val="1"/>
    </font>
    <font>
      <b val="true"/>
      <sz val="14"/>
      <color rgb="FF003781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2"/>
      <color rgb="FF00378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C62828"/>
      <name val="Arial"/>
      <family val="0"/>
      <charset val="1"/>
    </font>
    <font>
      <b val="true"/>
      <sz val="16"/>
      <color rgb="FFB26A00"/>
      <name val="Arial"/>
      <family val="0"/>
      <charset val="1"/>
    </font>
    <font>
      <sz val="8"/>
      <color rgb="FF1A1A2E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0"/>
      <color rgb="FF003781"/>
      <name val="Arial"/>
      <family val="0"/>
      <charset val="1"/>
    </font>
    <font>
      <i val="true"/>
      <sz val="10"/>
      <color rgb="FF8A94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9"/>
      <color rgb="FF1A1A2E"/>
      <name val="Arial"/>
      <family val="0"/>
      <charset val="1"/>
    </font>
    <font>
      <i val="true"/>
      <sz val="9"/>
      <color rgb="FF1A1A2E"/>
      <name val="Arial"/>
      <family val="0"/>
      <charset val="1"/>
    </font>
    <font>
      <sz val="10"/>
      <color rgb="FF8A94A6"/>
      <name val="Arial"/>
      <family val="0"/>
      <charset val="1"/>
    </font>
    <font>
      <b val="true"/>
      <sz val="11"/>
      <color rgb="FF003781"/>
      <name val="Arial"/>
      <family val="0"/>
      <charset val="1"/>
    </font>
    <font>
      <b val="true"/>
      <sz val="10"/>
      <color rgb="FF006AB3"/>
      <name val="Arial"/>
      <family val="0"/>
      <charset val="1"/>
    </font>
    <font>
      <b val="true"/>
      <sz val="10"/>
      <color rgb="FF8A94A6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8A94A6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8"/>
      <color rgb="FF006AB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781"/>
        <bgColor rgb="FF333399"/>
      </patternFill>
    </fill>
    <fill>
      <patternFill patternType="solid">
        <fgColor rgb="FFEAF1F8"/>
        <bgColor rgb="FFF5F9FD"/>
      </patternFill>
    </fill>
    <fill>
      <patternFill patternType="solid">
        <fgColor rgb="FFF5F9FD"/>
        <bgColor rgb="FFFFFFFF"/>
      </patternFill>
    </fill>
    <fill>
      <patternFill patternType="solid">
        <fgColor rgb="FFFFF2B2"/>
        <bgColor rgb="FFEAF1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 diagonalUp="false" diagonalDown="false">
      <left style="thin">
        <color rgb="FFD6DEE8"/>
      </left>
      <right/>
      <top style="thin">
        <color rgb="FFD6DEE8"/>
      </top>
      <bottom style="thin">
        <color rgb="FFD6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C0C0C0"/>
      <rgbColor rgb="FF808080"/>
      <rgbColor rgb="FF9999FF"/>
      <rgbColor rgb="FF993366"/>
      <rgbColor rgb="FFF5F9FD"/>
      <rgbColor rgb="FFEAF1F8"/>
      <rgbColor rgb="FF660066"/>
      <rgbColor rgb="FFFF8080"/>
      <rgbColor rgb="FF006AB3"/>
      <rgbColor rgb="FFD6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2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4A6"/>
      <rgbColor rgb="FF003781"/>
      <rgbColor rgb="FF2E7D32"/>
      <rgbColor rgb="FF003300"/>
      <rgbColor rgb="FF333300"/>
      <rgbColor rgb="FFC62828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24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/>
      <c r="B1" s="2" t="s">
        <v>0</v>
      </c>
      <c r="C1" s="1"/>
      <c r="D1" s="1"/>
      <c r="E1" s="1"/>
      <c r="F1" s="1"/>
      <c r="G1" s="1"/>
    </row>
    <row r="2" customFormat="false" ht="18" hidden="false" customHeight="true" outlineLevel="0" collapsed="false">
      <c r="A2" s="1"/>
      <c r="B2" s="3" t="s">
        <v>1</v>
      </c>
      <c r="C2" s="1"/>
      <c r="D2" s="1"/>
      <c r="E2" s="1"/>
      <c r="F2" s="1"/>
      <c r="G2" s="1"/>
    </row>
    <row r="4" customFormat="false" ht="17.35" hidden="false" customHeight="false" outlineLevel="0" collapsed="false">
      <c r="B4" s="4" t="s">
        <v>2</v>
      </c>
    </row>
    <row r="5" customFormat="false" ht="15" hidden="false" customHeight="true" outlineLevel="0" collapsed="false">
      <c r="B5" s="5" t="s">
        <v>3</v>
      </c>
      <c r="C5" s="5"/>
      <c r="D5" s="5"/>
      <c r="E5" s="5"/>
      <c r="F5" s="5"/>
      <c r="G5" s="5"/>
    </row>
    <row r="6" customFormat="false" ht="15" hidden="false" customHeight="false" outlineLevel="0" collapsed="false"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B7" s="5"/>
      <c r="C7" s="5"/>
      <c r="D7" s="5"/>
      <c r="E7" s="5"/>
      <c r="F7" s="5"/>
      <c r="G7" s="5"/>
    </row>
    <row r="9" customFormat="false" ht="15" hidden="false" customHeight="false" outlineLevel="0" collapsed="false">
      <c r="B9" s="6" t="s">
        <v>4</v>
      </c>
    </row>
    <row r="10" customFormat="false" ht="15" hidden="false" customHeight="false" outlineLevel="0" collapsed="false">
      <c r="B10" s="7" t="s">
        <v>5</v>
      </c>
      <c r="C10" s="7"/>
      <c r="D10" s="7" t="s">
        <v>6</v>
      </c>
      <c r="E10" s="7"/>
      <c r="F10" s="7" t="s">
        <v>7</v>
      </c>
      <c r="G10" s="7"/>
    </row>
    <row r="11" customFormat="false" ht="19.7" hidden="false" customHeight="false" outlineLevel="0" collapsed="false">
      <c r="B11" s="8" t="s">
        <v>8</v>
      </c>
      <c r="C11" s="8"/>
      <c r="D11" s="9" t="s">
        <v>9</v>
      </c>
      <c r="E11" s="9"/>
      <c r="F11" s="8" t="s">
        <v>10</v>
      </c>
      <c r="G11" s="8"/>
    </row>
    <row r="12" customFormat="false" ht="15" hidden="false" customHeight="true" outlineLevel="0" collapsed="false">
      <c r="B12" s="10" t="s">
        <v>11</v>
      </c>
      <c r="C12" s="10"/>
      <c r="D12" s="10" t="s">
        <v>12</v>
      </c>
      <c r="E12" s="10"/>
      <c r="F12" s="10" t="s">
        <v>13</v>
      </c>
      <c r="G12" s="10"/>
    </row>
    <row r="14" customFormat="false" ht="15" hidden="false" customHeight="false" outlineLevel="0" collapsed="false">
      <c r="B14" s="7" t="s">
        <v>14</v>
      </c>
      <c r="C14" s="7"/>
      <c r="D14" s="7" t="s">
        <v>15</v>
      </c>
      <c r="E14" s="7"/>
      <c r="F14" s="7" t="s">
        <v>16</v>
      </c>
      <c r="G14" s="7"/>
    </row>
    <row r="15" customFormat="false" ht="19.7" hidden="false" customHeight="false" outlineLevel="0" collapsed="false">
      <c r="B15" s="9" t="s">
        <v>17</v>
      </c>
      <c r="C15" s="9"/>
      <c r="D15" s="8" t="s">
        <v>18</v>
      </c>
      <c r="E15" s="8"/>
      <c r="F15" s="11" t="s">
        <v>19</v>
      </c>
      <c r="G15" s="11"/>
    </row>
    <row r="16" customFormat="false" ht="15" hidden="false" customHeight="true" outlineLevel="0" collapsed="false">
      <c r="B16" s="10" t="s">
        <v>20</v>
      </c>
      <c r="C16" s="10"/>
      <c r="D16" s="10" t="s">
        <v>21</v>
      </c>
      <c r="E16" s="10"/>
      <c r="F16" s="10" t="s">
        <v>22</v>
      </c>
      <c r="G16" s="10"/>
    </row>
    <row r="18" customFormat="false" ht="15" hidden="false" customHeight="false" outlineLevel="0" collapsed="false">
      <c r="B18" s="6" t="s">
        <v>23</v>
      </c>
    </row>
    <row r="19" customFormat="false" ht="15" hidden="false" customHeight="true" outlineLevel="0" collapsed="false">
      <c r="B19" s="12" t="s">
        <v>24</v>
      </c>
      <c r="C19" s="13" t="s">
        <v>25</v>
      </c>
      <c r="D19" s="13"/>
      <c r="E19" s="13"/>
      <c r="F19" s="13"/>
      <c r="G19" s="13"/>
    </row>
    <row r="20" customFormat="false" ht="15" hidden="false" customHeight="true" outlineLevel="0" collapsed="false">
      <c r="B20" s="12" t="s">
        <v>26</v>
      </c>
      <c r="C20" s="13" t="s">
        <v>27</v>
      </c>
      <c r="D20" s="13"/>
      <c r="E20" s="13"/>
      <c r="F20" s="13"/>
      <c r="G20" s="13"/>
    </row>
    <row r="21" customFormat="false" ht="15" hidden="false" customHeight="true" outlineLevel="0" collapsed="false">
      <c r="B21" s="12" t="s">
        <v>28</v>
      </c>
      <c r="C21" s="13" t="s">
        <v>29</v>
      </c>
      <c r="D21" s="13"/>
      <c r="E21" s="13"/>
      <c r="F21" s="13"/>
      <c r="G21" s="13"/>
    </row>
    <row r="22" customFormat="false" ht="15" hidden="false" customHeight="true" outlineLevel="0" collapsed="false">
      <c r="B22" s="12" t="s">
        <v>30</v>
      </c>
      <c r="C22" s="13" t="s">
        <v>31</v>
      </c>
      <c r="D22" s="13"/>
      <c r="E22" s="13"/>
      <c r="F22" s="13"/>
      <c r="G22" s="13"/>
    </row>
    <row r="23" customFormat="false" ht="15" hidden="false" customHeight="true" outlineLevel="0" collapsed="false">
      <c r="B23" s="12" t="s">
        <v>32</v>
      </c>
      <c r="C23" s="13" t="s">
        <v>33</v>
      </c>
      <c r="D23" s="13"/>
      <c r="E23" s="13"/>
      <c r="F23" s="13"/>
      <c r="G23" s="13"/>
    </row>
    <row r="24" customFormat="false" ht="15" hidden="false" customHeight="true" outlineLevel="0" collapsed="false">
      <c r="B24" s="12" t="s">
        <v>34</v>
      </c>
      <c r="C24" s="13" t="s">
        <v>35</v>
      </c>
      <c r="D24" s="13"/>
      <c r="E24" s="13"/>
      <c r="F24" s="13"/>
      <c r="G24" s="13"/>
    </row>
    <row r="25" customFormat="false" ht="15" hidden="false" customHeight="true" outlineLevel="0" collapsed="false">
      <c r="B25" s="12" t="s">
        <v>36</v>
      </c>
      <c r="C25" s="13" t="s">
        <v>37</v>
      </c>
      <c r="D25" s="13"/>
      <c r="E25" s="13"/>
      <c r="F25" s="13"/>
      <c r="G25" s="13"/>
    </row>
  </sheetData>
  <mergeCells count="26">
    <mergeCell ref="B5:G7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C19:G19"/>
    <mergeCell ref="C20:G20"/>
    <mergeCell ref="C21:G21"/>
    <mergeCell ref="C22:G22"/>
    <mergeCell ref="C23:G23"/>
    <mergeCell ref="C24:G24"/>
    <mergeCell ref="C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4" t="s">
        <v>38</v>
      </c>
    </row>
    <row r="2" customFormat="false" ht="337.3" hidden="false" customHeight="false" outlineLevel="0" collapsed="false">
      <c r="A2" s="14" t="s">
        <v>39</v>
      </c>
    </row>
    <row r="4" customFormat="false" ht="23.85" hidden="false" customHeight="false" outlineLevel="0" collapsed="false">
      <c r="A4" s="15" t="s">
        <v>40</v>
      </c>
      <c r="B4" s="15" t="s">
        <v>41</v>
      </c>
      <c r="C4" s="15" t="s">
        <v>42</v>
      </c>
      <c r="D4" s="15" t="s">
        <v>43</v>
      </c>
      <c r="E4" s="15" t="s">
        <v>44</v>
      </c>
      <c r="F4" s="15" t="s">
        <v>45</v>
      </c>
      <c r="G4" s="15" t="s">
        <v>46</v>
      </c>
      <c r="H4" s="15" t="s">
        <v>47</v>
      </c>
      <c r="I4" s="15" t="s">
        <v>48</v>
      </c>
      <c r="J4" s="15" t="s">
        <v>49</v>
      </c>
      <c r="K4" s="15" t="s">
        <v>50</v>
      </c>
      <c r="L4" s="15" t="s">
        <v>51</v>
      </c>
    </row>
    <row r="5" customFormat="false" ht="45.75" hidden="false" customHeight="true" outlineLevel="0" collapsed="false">
      <c r="A5" s="16" t="s">
        <v>52</v>
      </c>
      <c r="B5" s="17" t="s">
        <v>53</v>
      </c>
      <c r="C5" s="17" t="s">
        <v>54</v>
      </c>
      <c r="D5" s="18" t="s">
        <v>55</v>
      </c>
      <c r="E5" s="19" t="n">
        <v>5</v>
      </c>
      <c r="F5" s="19" t="n">
        <v>5</v>
      </c>
      <c r="G5" s="19" t="n">
        <v>4</v>
      </c>
      <c r="H5" s="20" t="n">
        <f aca="false">E5*F5</f>
        <v>25</v>
      </c>
      <c r="I5" s="21" t="s">
        <v>56</v>
      </c>
      <c r="J5" s="22" t="s">
        <v>57</v>
      </c>
      <c r="K5" s="23" t="s">
        <v>58</v>
      </c>
      <c r="L5" s="22" t="s">
        <v>59</v>
      </c>
    </row>
    <row r="6" customFormat="false" ht="45.75" hidden="false" customHeight="true" outlineLevel="0" collapsed="false">
      <c r="A6" s="24" t="s">
        <v>60</v>
      </c>
      <c r="B6" s="25" t="s">
        <v>61</v>
      </c>
      <c r="C6" s="25" t="s">
        <v>62</v>
      </c>
      <c r="D6" s="26" t="s">
        <v>55</v>
      </c>
      <c r="E6" s="27" t="n">
        <v>5</v>
      </c>
      <c r="F6" s="27" t="n">
        <v>4</v>
      </c>
      <c r="G6" s="27" t="n">
        <v>3</v>
      </c>
      <c r="H6" s="28" t="n">
        <f aca="false">E6*F6</f>
        <v>20</v>
      </c>
      <c r="I6" s="29" t="s">
        <v>56</v>
      </c>
      <c r="J6" s="30" t="s">
        <v>63</v>
      </c>
      <c r="K6" s="31" t="s">
        <v>64</v>
      </c>
      <c r="L6" s="30" t="s">
        <v>65</v>
      </c>
    </row>
    <row r="7" customFormat="false" ht="45.75" hidden="false" customHeight="true" outlineLevel="0" collapsed="false">
      <c r="A7" s="16" t="s">
        <v>66</v>
      </c>
      <c r="B7" s="17" t="s">
        <v>67</v>
      </c>
      <c r="C7" s="17" t="s">
        <v>68</v>
      </c>
      <c r="D7" s="18" t="s">
        <v>55</v>
      </c>
      <c r="E7" s="19" t="n">
        <v>4</v>
      </c>
      <c r="F7" s="19" t="n">
        <v>4</v>
      </c>
      <c r="G7" s="19" t="n">
        <v>2</v>
      </c>
      <c r="H7" s="20" t="n">
        <f aca="false">E7*F7</f>
        <v>16</v>
      </c>
      <c r="I7" s="21" t="s">
        <v>56</v>
      </c>
      <c r="J7" s="22" t="s">
        <v>69</v>
      </c>
      <c r="K7" s="23" t="s">
        <v>70</v>
      </c>
      <c r="L7" s="22" t="s">
        <v>71</v>
      </c>
    </row>
    <row r="8" customFormat="false" ht="45.75" hidden="false" customHeight="true" outlineLevel="0" collapsed="false">
      <c r="A8" s="24" t="s">
        <v>72</v>
      </c>
      <c r="B8" s="25" t="s">
        <v>73</v>
      </c>
      <c r="C8" s="25" t="s">
        <v>74</v>
      </c>
      <c r="D8" s="26" t="s">
        <v>55</v>
      </c>
      <c r="E8" s="27" t="n">
        <v>3</v>
      </c>
      <c r="F8" s="27" t="n">
        <v>4</v>
      </c>
      <c r="G8" s="27" t="n">
        <v>5</v>
      </c>
      <c r="H8" s="28" t="n">
        <f aca="false">E8*F8</f>
        <v>12</v>
      </c>
      <c r="I8" s="29" t="s">
        <v>56</v>
      </c>
      <c r="J8" s="30" t="s">
        <v>75</v>
      </c>
      <c r="K8" s="31" t="s">
        <v>76</v>
      </c>
      <c r="L8" s="30" t="s">
        <v>77</v>
      </c>
    </row>
    <row r="9" customFormat="false" ht="45.75" hidden="false" customHeight="true" outlineLevel="0" collapsed="false">
      <c r="A9" s="16" t="s">
        <v>78</v>
      </c>
      <c r="B9" s="17" t="s">
        <v>79</v>
      </c>
      <c r="C9" s="17" t="s">
        <v>80</v>
      </c>
      <c r="D9" s="18" t="s">
        <v>55</v>
      </c>
      <c r="E9" s="19" t="n">
        <v>3</v>
      </c>
      <c r="F9" s="19" t="n">
        <v>3</v>
      </c>
      <c r="G9" s="19" t="n">
        <v>3</v>
      </c>
      <c r="H9" s="20" t="n">
        <f aca="false">E9*F9</f>
        <v>9</v>
      </c>
      <c r="I9" s="32" t="s">
        <v>81</v>
      </c>
      <c r="J9" s="22" t="s">
        <v>82</v>
      </c>
      <c r="K9" s="23" t="s">
        <v>83</v>
      </c>
      <c r="L9" s="22" t="s">
        <v>84</v>
      </c>
    </row>
    <row r="10" customFormat="false" ht="45.75" hidden="false" customHeight="true" outlineLevel="0" collapsed="false">
      <c r="A10" s="24" t="s">
        <v>85</v>
      </c>
      <c r="B10" s="25" t="s">
        <v>86</v>
      </c>
      <c r="C10" s="25" t="s">
        <v>87</v>
      </c>
      <c r="D10" s="26" t="s">
        <v>55</v>
      </c>
      <c r="E10" s="27" t="n">
        <v>3</v>
      </c>
      <c r="F10" s="27" t="n">
        <v>3</v>
      </c>
      <c r="G10" s="27" t="n">
        <v>2</v>
      </c>
      <c r="H10" s="28" t="n">
        <f aca="false">E10*F10</f>
        <v>9</v>
      </c>
      <c r="I10" s="33" t="s">
        <v>81</v>
      </c>
      <c r="J10" s="30" t="s">
        <v>88</v>
      </c>
      <c r="K10" s="31" t="s">
        <v>89</v>
      </c>
      <c r="L10" s="30" t="s">
        <v>65</v>
      </c>
    </row>
    <row r="11" customFormat="false" ht="45.75" hidden="false" customHeight="true" outlineLevel="0" collapsed="false">
      <c r="A11" s="16" t="s">
        <v>90</v>
      </c>
      <c r="B11" s="17" t="s">
        <v>91</v>
      </c>
      <c r="C11" s="17" t="s">
        <v>80</v>
      </c>
      <c r="D11" s="21" t="s">
        <v>92</v>
      </c>
      <c r="E11" s="19" t="n">
        <v>2</v>
      </c>
      <c r="F11" s="19" t="n">
        <v>3</v>
      </c>
      <c r="G11" s="19" t="n">
        <v>1</v>
      </c>
      <c r="H11" s="20" t="n">
        <f aca="false">E11*F11</f>
        <v>6</v>
      </c>
      <c r="I11" s="21" t="s">
        <v>56</v>
      </c>
      <c r="J11" s="22" t="s">
        <v>81</v>
      </c>
      <c r="K11" s="23" t="s">
        <v>93</v>
      </c>
      <c r="L11" s="2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9" min="8" style="0" width="16"/>
  </cols>
  <sheetData>
    <row r="1" customFormat="false" ht="17.35" hidden="false" customHeight="false" outlineLevel="0" collapsed="false">
      <c r="A1" s="4" t="s">
        <v>95</v>
      </c>
    </row>
    <row r="2" customFormat="false" ht="247.75" hidden="false" customHeight="false" outlineLevel="0" collapsed="false">
      <c r="A2" s="14" t="s">
        <v>96</v>
      </c>
    </row>
    <row r="4" customFormat="false" ht="15" hidden="false" customHeight="false" outlineLevel="0" collapsed="false">
      <c r="A4" s="15" t="s">
        <v>40</v>
      </c>
      <c r="B4" s="15" t="s">
        <v>41</v>
      </c>
      <c r="C4" s="15" t="s">
        <v>44</v>
      </c>
      <c r="D4" s="15" t="s">
        <v>45</v>
      </c>
      <c r="E4" s="15" t="s">
        <v>46</v>
      </c>
      <c r="F4" s="15" t="s">
        <v>97</v>
      </c>
      <c r="G4" s="15" t="s">
        <v>98</v>
      </c>
      <c r="H4" s="15" t="s">
        <v>99</v>
      </c>
      <c r="I4" s="15" t="s">
        <v>100</v>
      </c>
    </row>
    <row r="5" customFormat="false" ht="23.85" hidden="false" customHeight="false" outlineLevel="0" collapsed="false">
      <c r="A5" s="16" t="s">
        <v>52</v>
      </c>
      <c r="B5" s="17" t="s">
        <v>53</v>
      </c>
      <c r="C5" s="19" t="n">
        <f aca="false">'01_VoC_Daten'!E5</f>
        <v>5</v>
      </c>
      <c r="D5" s="19" t="n">
        <f aca="false">'01_VoC_Daten'!F5</f>
        <v>5</v>
      </c>
      <c r="E5" s="19" t="n">
        <f aca="false">'01_VoC_Daten'!G5</f>
        <v>4</v>
      </c>
      <c r="F5" s="16" t="n">
        <f aca="false">C5*D5</f>
        <v>25</v>
      </c>
      <c r="G5" s="19" t="n">
        <f aca="false">RANK(F5,$F$5:$F$10)</f>
        <v>1</v>
      </c>
      <c r="H5" s="20" t="str">
        <f aca="false">IF(AND(F5&gt;=16,E5&lt;=2),"Quick Win",IF(F5&gt;=20,"Top-Priorität",IF(F5&gt;=12,"Strategisch","Mittel")))</f>
        <v>Top-Priorität</v>
      </c>
      <c r="I5" s="34" t="str">
        <f aca="false">IF(E5&lt;=2,"Sofort (0–6 M)",IF(F5&gt;=20,"Bald (0–12 M)","Mittelfristig"))</f>
        <v>Bald (0–12 M)</v>
      </c>
    </row>
    <row r="6" customFormat="false" ht="23.85" hidden="false" customHeight="false" outlineLevel="0" collapsed="false">
      <c r="A6" s="24" t="s">
        <v>60</v>
      </c>
      <c r="B6" s="25" t="s">
        <v>61</v>
      </c>
      <c r="C6" s="27" t="n">
        <f aca="false">'01_VoC_Daten'!E6</f>
        <v>5</v>
      </c>
      <c r="D6" s="27" t="n">
        <f aca="false">'01_VoC_Daten'!F6</f>
        <v>4</v>
      </c>
      <c r="E6" s="27" t="n">
        <f aca="false">'01_VoC_Daten'!G6</f>
        <v>3</v>
      </c>
      <c r="F6" s="24" t="n">
        <f aca="false">C6*D6</f>
        <v>20</v>
      </c>
      <c r="G6" s="27" t="n">
        <f aca="false">RANK(F6,$F$5:$F$10)</f>
        <v>2</v>
      </c>
      <c r="H6" s="28" t="str">
        <f aca="false">IF(AND(F6&gt;=16,E6&lt;=2),"Quick Win",IF(F6&gt;=20,"Top-Priorität",IF(F6&gt;=12,"Strategisch","Mittel")))</f>
        <v>Top-Priorität</v>
      </c>
      <c r="I6" s="35" t="str">
        <f aca="false">IF(E6&lt;=2,"Sofort (0–6 M)",IF(F6&gt;=20,"Bald (0–12 M)","Mittelfristig"))</f>
        <v>Bald (0–12 M)</v>
      </c>
    </row>
    <row r="7" customFormat="false" ht="23.85" hidden="false" customHeight="false" outlineLevel="0" collapsed="false">
      <c r="A7" s="16" t="s">
        <v>66</v>
      </c>
      <c r="B7" s="17" t="s">
        <v>67</v>
      </c>
      <c r="C7" s="19" t="n">
        <f aca="false">'01_VoC_Daten'!E7</f>
        <v>4</v>
      </c>
      <c r="D7" s="19" t="n">
        <f aca="false">'01_VoC_Daten'!F7</f>
        <v>4</v>
      </c>
      <c r="E7" s="19" t="n">
        <f aca="false">'01_VoC_Daten'!G7</f>
        <v>2</v>
      </c>
      <c r="F7" s="16" t="n">
        <f aca="false">C7*D7</f>
        <v>16</v>
      </c>
      <c r="G7" s="19" t="n">
        <f aca="false">RANK(F7,$F$5:$F$10)</f>
        <v>3</v>
      </c>
      <c r="H7" s="20" t="str">
        <f aca="false">IF(AND(F7&gt;=16,E7&lt;=2),"Quick Win",IF(F7&gt;=20,"Top-Priorität",IF(F7&gt;=12,"Strategisch","Mittel")))</f>
        <v>Quick Win</v>
      </c>
      <c r="I7" s="34" t="str">
        <f aca="false">IF(E7&lt;=2,"Sofort (0–6 M)",IF(F7&gt;=20,"Bald (0–12 M)","Mittelfristig"))</f>
        <v>Sofort (0–6 M)</v>
      </c>
    </row>
    <row r="8" customFormat="false" ht="23.85" hidden="false" customHeight="false" outlineLevel="0" collapsed="false">
      <c r="A8" s="24" t="s">
        <v>72</v>
      </c>
      <c r="B8" s="25" t="s">
        <v>73</v>
      </c>
      <c r="C8" s="27" t="n">
        <f aca="false">'01_VoC_Daten'!E8</f>
        <v>3</v>
      </c>
      <c r="D8" s="27" t="n">
        <f aca="false">'01_VoC_Daten'!F8</f>
        <v>4</v>
      </c>
      <c r="E8" s="27" t="n">
        <f aca="false">'01_VoC_Daten'!G8</f>
        <v>5</v>
      </c>
      <c r="F8" s="24" t="n">
        <f aca="false">C8*D8</f>
        <v>12</v>
      </c>
      <c r="G8" s="27" t="n">
        <f aca="false">RANK(F8,$F$5:$F$10)</f>
        <v>4</v>
      </c>
      <c r="H8" s="28" t="str">
        <f aca="false">IF(AND(F8&gt;=16,E8&lt;=2),"Quick Win",IF(F8&gt;=20,"Top-Priorität",IF(F8&gt;=12,"Strategisch","Mittel")))</f>
        <v>Strategisch</v>
      </c>
      <c r="I8" s="35" t="str">
        <f aca="false">IF(E8&lt;=2,"Sofort (0–6 M)",IF(F8&gt;=20,"Bald (0–12 M)","Mittelfristig"))</f>
        <v>Mittelfristig</v>
      </c>
    </row>
    <row r="9" customFormat="false" ht="23.85" hidden="false" customHeight="false" outlineLevel="0" collapsed="false">
      <c r="A9" s="16" t="s">
        <v>78</v>
      </c>
      <c r="B9" s="17" t="s">
        <v>79</v>
      </c>
      <c r="C9" s="19" t="n">
        <f aca="false">'01_VoC_Daten'!E9</f>
        <v>3</v>
      </c>
      <c r="D9" s="19" t="n">
        <f aca="false">'01_VoC_Daten'!F9</f>
        <v>3</v>
      </c>
      <c r="E9" s="19" t="n">
        <f aca="false">'01_VoC_Daten'!G9</f>
        <v>3</v>
      </c>
      <c r="F9" s="16" t="n">
        <f aca="false">C9*D9</f>
        <v>9</v>
      </c>
      <c r="G9" s="19" t="n">
        <f aca="false">RANK(F9,$F$5:$F$10)</f>
        <v>5</v>
      </c>
      <c r="H9" s="20" t="str">
        <f aca="false">IF(AND(F9&gt;=16,E9&lt;=2),"Quick Win",IF(F9&gt;=20,"Top-Priorität",IF(F9&gt;=12,"Strategisch","Mittel")))</f>
        <v>Mittel</v>
      </c>
      <c r="I9" s="34" t="str">
        <f aca="false">IF(E9&lt;=2,"Sofort (0–6 M)",IF(F9&gt;=20,"Bald (0–12 M)","Mittelfristig"))</f>
        <v>Mittelfristig</v>
      </c>
    </row>
    <row r="10" customFormat="false" ht="35.05" hidden="false" customHeight="false" outlineLevel="0" collapsed="false">
      <c r="A10" s="24" t="s">
        <v>85</v>
      </c>
      <c r="B10" s="25" t="s">
        <v>86</v>
      </c>
      <c r="C10" s="27" t="n">
        <f aca="false">'01_VoC_Daten'!E10</f>
        <v>3</v>
      </c>
      <c r="D10" s="27" t="n">
        <f aca="false">'01_VoC_Daten'!F10</f>
        <v>3</v>
      </c>
      <c r="E10" s="27" t="n">
        <f aca="false">'01_VoC_Daten'!G10</f>
        <v>2</v>
      </c>
      <c r="F10" s="24" t="n">
        <f aca="false">C10*D10</f>
        <v>9</v>
      </c>
      <c r="G10" s="27" t="n">
        <f aca="false">RANK(F10,$F$5:$F$10)</f>
        <v>5</v>
      </c>
      <c r="H10" s="28" t="str">
        <f aca="false">IF(AND(F10&gt;=16,E10&lt;=2),"Quick Win",IF(F10&gt;=20,"Top-Priorität",IF(F10&gt;=12,"Strategisch","Mittel")))</f>
        <v>Mittel</v>
      </c>
      <c r="I10" s="35" t="str">
        <f aca="false">IF(E10&lt;=2,"Sofort (0–6 M)",IF(F10&gt;=20,"Bald (0–12 M)","Mittelfristig"))</f>
        <v>Sofort (0–6 M)</v>
      </c>
    </row>
    <row r="13" customFormat="false" ht="15" hidden="false" customHeight="false" outlineLevel="0" collapsed="false">
      <c r="A13" s="36" t="s">
        <v>101</v>
      </c>
    </row>
    <row r="14" customFormat="false" ht="35.05" hidden="false" customHeight="true" outlineLevel="0" collapsed="false">
      <c r="A14" s="37" t="s">
        <v>102</v>
      </c>
      <c r="B14" s="13" t="s">
        <v>103</v>
      </c>
      <c r="C14" s="13"/>
      <c r="D14" s="13"/>
      <c r="E14" s="13"/>
      <c r="F14" s="13"/>
    </row>
    <row r="15" customFormat="false" ht="23.85" hidden="false" customHeight="true" outlineLevel="0" collapsed="false">
      <c r="A15" s="38" t="s">
        <v>104</v>
      </c>
      <c r="B15" s="13" t="s">
        <v>105</v>
      </c>
      <c r="C15" s="13"/>
      <c r="D15" s="13"/>
      <c r="E15" s="13"/>
      <c r="F15" s="13"/>
    </row>
    <row r="16" customFormat="false" ht="23.85" hidden="false" customHeight="true" outlineLevel="0" collapsed="false">
      <c r="A16" s="39" t="s">
        <v>106</v>
      </c>
      <c r="B16" s="13" t="s">
        <v>107</v>
      </c>
      <c r="C16" s="13"/>
      <c r="D16" s="13"/>
      <c r="E16" s="13"/>
      <c r="F16" s="13"/>
    </row>
    <row r="17" customFormat="false" ht="15" hidden="false" customHeight="true" outlineLevel="0" collapsed="false">
      <c r="A17" s="40" t="s">
        <v>108</v>
      </c>
      <c r="B17" s="13" t="s">
        <v>109</v>
      </c>
      <c r="C17" s="13"/>
      <c r="D17" s="13"/>
      <c r="E17" s="13"/>
      <c r="F17" s="13"/>
    </row>
  </sheetData>
  <mergeCells count="4">
    <mergeCell ref="B14:F14"/>
    <mergeCell ref="B15:F15"/>
    <mergeCell ref="B16:F16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4" t="s">
        <v>110</v>
      </c>
    </row>
    <row r="3" customFormat="false" ht="35.05" hidden="false" customHeight="false" outlineLevel="0" collapsed="false">
      <c r="A3" s="36" t="s">
        <v>111</v>
      </c>
      <c r="D3" s="14" t="s">
        <v>112</v>
      </c>
    </row>
    <row r="4" customFormat="false" ht="15" hidden="false" customHeight="false" outlineLevel="0" collapsed="false">
      <c r="A4" s="15" t="s">
        <v>113</v>
      </c>
      <c r="B4" s="15" t="s">
        <v>114</v>
      </c>
      <c r="C4" s="15" t="s">
        <v>115</v>
      </c>
    </row>
    <row r="5" customFormat="false" ht="15" hidden="false" customHeight="false" outlineLevel="0" collapsed="false">
      <c r="A5" s="17" t="s">
        <v>116</v>
      </c>
      <c r="B5" s="41" t="n">
        <v>5.3</v>
      </c>
      <c r="C5" s="42" t="n">
        <v>0</v>
      </c>
    </row>
    <row r="6" customFormat="false" ht="15" hidden="false" customHeight="false" outlineLevel="0" collapsed="false">
      <c r="A6" s="25" t="s">
        <v>117</v>
      </c>
      <c r="B6" s="43" t="n">
        <v>5.2</v>
      </c>
      <c r="C6" s="44" t="n">
        <v>-0.0999999999999996</v>
      </c>
    </row>
    <row r="7" customFormat="false" ht="15" hidden="false" customHeight="false" outlineLevel="0" collapsed="false">
      <c r="A7" s="17" t="s">
        <v>118</v>
      </c>
      <c r="B7" s="41" t="n">
        <v>5.2</v>
      </c>
      <c r="C7" s="42" t="n">
        <v>-0.0999999999999996</v>
      </c>
    </row>
    <row r="8" customFormat="false" ht="15" hidden="false" customHeight="false" outlineLevel="0" collapsed="false">
      <c r="A8" s="25" t="s">
        <v>119</v>
      </c>
      <c r="B8" s="43" t="n">
        <v>5.1</v>
      </c>
      <c r="C8" s="44" t="n">
        <v>-0.2</v>
      </c>
    </row>
    <row r="9" customFormat="false" ht="15" hidden="false" customHeight="false" outlineLevel="0" collapsed="false">
      <c r="A9" s="45" t="s">
        <v>120</v>
      </c>
      <c r="B9" s="46" t="n">
        <v>5.1</v>
      </c>
      <c r="C9" s="47" t="n">
        <v>-0.2</v>
      </c>
    </row>
    <row r="10" customFormat="false" ht="15" hidden="false" customHeight="false" outlineLevel="0" collapsed="false">
      <c r="A10" s="25" t="s">
        <v>121</v>
      </c>
      <c r="B10" s="43" t="n">
        <v>5.1</v>
      </c>
      <c r="C10" s="44" t="n">
        <v>-0.2</v>
      </c>
    </row>
    <row r="12" customFormat="false" ht="46.25" hidden="false" customHeight="false" outlineLevel="0" collapsed="false">
      <c r="A12" s="36" t="s">
        <v>122</v>
      </c>
      <c r="D12" s="14" t="s">
        <v>123</v>
      </c>
    </row>
    <row r="13" customFormat="false" ht="15" hidden="false" customHeight="false" outlineLevel="0" collapsed="false">
      <c r="A13" s="15" t="s">
        <v>113</v>
      </c>
      <c r="B13" s="15" t="s">
        <v>114</v>
      </c>
      <c r="C13" s="15" t="s">
        <v>115</v>
      </c>
    </row>
    <row r="14" customFormat="false" ht="15" hidden="false" customHeight="false" outlineLevel="0" collapsed="false">
      <c r="A14" s="25" t="s">
        <v>116</v>
      </c>
      <c r="B14" s="43" t="n">
        <v>5.5</v>
      </c>
      <c r="C14" s="44" t="n">
        <v>0</v>
      </c>
    </row>
    <row r="15" customFormat="false" ht="15" hidden="false" customHeight="false" outlineLevel="0" collapsed="false">
      <c r="A15" s="17" t="s">
        <v>117</v>
      </c>
      <c r="B15" s="41" t="n">
        <v>5.4</v>
      </c>
      <c r="C15" s="42" t="n">
        <v>-0.0999999999999996</v>
      </c>
    </row>
    <row r="16" customFormat="false" ht="15" hidden="false" customHeight="false" outlineLevel="0" collapsed="false">
      <c r="A16" s="25" t="s">
        <v>124</v>
      </c>
      <c r="B16" s="43" t="n">
        <v>5.3</v>
      </c>
      <c r="C16" s="44" t="n">
        <v>-0.2</v>
      </c>
    </row>
    <row r="17" customFormat="false" ht="15" hidden="false" customHeight="false" outlineLevel="0" collapsed="false">
      <c r="A17" s="17" t="s">
        <v>121</v>
      </c>
      <c r="B17" s="41" t="n">
        <v>5.2</v>
      </c>
      <c r="C17" s="42" t="n">
        <v>-0.3</v>
      </c>
    </row>
    <row r="18" customFormat="false" ht="15" hidden="false" customHeight="false" outlineLevel="0" collapsed="false">
      <c r="A18" s="25" t="s">
        <v>119</v>
      </c>
      <c r="B18" s="43" t="n">
        <v>5.2</v>
      </c>
      <c r="C18" s="44" t="n">
        <v>-0.3</v>
      </c>
    </row>
    <row r="19" customFormat="false" ht="15" hidden="false" customHeight="false" outlineLevel="0" collapsed="false">
      <c r="A19" s="17" t="s">
        <v>125</v>
      </c>
      <c r="B19" s="41" t="n">
        <v>5.2</v>
      </c>
      <c r="C19" s="42" t="n">
        <v>-0.3</v>
      </c>
    </row>
    <row r="20" customFormat="false" ht="15" hidden="false" customHeight="false" outlineLevel="0" collapsed="false">
      <c r="A20" s="25" t="s">
        <v>118</v>
      </c>
      <c r="B20" s="43" t="n">
        <v>5.2</v>
      </c>
      <c r="C20" s="44" t="n">
        <v>-0.3</v>
      </c>
    </row>
    <row r="21" customFormat="false" ht="15" hidden="false" customHeight="false" outlineLevel="0" collapsed="false">
      <c r="A21" s="45" t="s">
        <v>120</v>
      </c>
      <c r="B21" s="46" t="n">
        <v>5.1</v>
      </c>
      <c r="C21" s="47" t="n">
        <v>-0.4</v>
      </c>
    </row>
    <row r="23" customFormat="false" ht="23.85" hidden="false" customHeight="false" outlineLevel="0" collapsed="false">
      <c r="A23" s="36" t="s">
        <v>126</v>
      </c>
      <c r="D23" s="14" t="s">
        <v>127</v>
      </c>
    </row>
    <row r="24" customFormat="false" ht="15" hidden="false" customHeight="false" outlineLevel="0" collapsed="false">
      <c r="A24" s="15" t="s">
        <v>113</v>
      </c>
      <c r="B24" s="15" t="s">
        <v>128</v>
      </c>
      <c r="C24" s="15" t="s">
        <v>115</v>
      </c>
    </row>
    <row r="25" customFormat="false" ht="15" hidden="false" customHeight="false" outlineLevel="0" collapsed="false">
      <c r="A25" s="17" t="s">
        <v>116</v>
      </c>
      <c r="B25" s="41" t="n">
        <v>45</v>
      </c>
      <c r="C25" s="42" t="n">
        <v>0</v>
      </c>
    </row>
    <row r="26" customFormat="false" ht="15" hidden="false" customHeight="false" outlineLevel="0" collapsed="false">
      <c r="A26" s="25" t="s">
        <v>129</v>
      </c>
      <c r="B26" s="43" t="n">
        <v>18</v>
      </c>
      <c r="C26" s="44" t="n">
        <v>-27</v>
      </c>
    </row>
    <row r="27" customFormat="false" ht="15" hidden="false" customHeight="false" outlineLevel="0" collapsed="false">
      <c r="A27" s="45" t="s">
        <v>120</v>
      </c>
      <c r="B27" s="46" t="n">
        <v>8</v>
      </c>
      <c r="C27" s="47" t="n">
        <v>-37</v>
      </c>
    </row>
    <row r="29" customFormat="false" ht="15" hidden="false" customHeight="false" outlineLevel="0" collapsed="false">
      <c r="A29" s="36" t="s">
        <v>130</v>
      </c>
      <c r="D29" s="14" t="s">
        <v>131</v>
      </c>
    </row>
    <row r="30" customFormat="false" ht="15" hidden="false" customHeight="false" outlineLevel="0" collapsed="false">
      <c r="A30" s="15" t="s">
        <v>113</v>
      </c>
      <c r="B30" s="15" t="s">
        <v>132</v>
      </c>
      <c r="C30" s="15" t="s">
        <v>115</v>
      </c>
    </row>
    <row r="31" customFormat="false" ht="15" hidden="false" customHeight="false" outlineLevel="0" collapsed="false">
      <c r="A31" s="17" t="s">
        <v>116</v>
      </c>
      <c r="B31" s="41" t="n">
        <v>96</v>
      </c>
      <c r="C31" s="42" t="n">
        <v>0</v>
      </c>
    </row>
    <row r="32" customFormat="false" ht="15" hidden="false" customHeight="false" outlineLevel="0" collapsed="false">
      <c r="A32" s="45" t="s">
        <v>120</v>
      </c>
      <c r="B32" s="46" t="n">
        <v>84</v>
      </c>
      <c r="C32" s="47" t="n">
        <v>-12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4" t="s">
        <v>133</v>
      </c>
    </row>
    <row r="2" customFormat="false" ht="57.45" hidden="false" customHeight="false" outlineLevel="0" collapsed="false">
      <c r="A2" s="14" t="s">
        <v>134</v>
      </c>
    </row>
    <row r="4" customFormat="false" ht="15" hidden="false" customHeight="false" outlineLevel="0" collapsed="false">
      <c r="A4" s="15" t="s">
        <v>135</v>
      </c>
      <c r="B4" s="15" t="s">
        <v>136</v>
      </c>
      <c r="C4" s="15" t="s">
        <v>137</v>
      </c>
      <c r="D4" s="15" t="s">
        <v>138</v>
      </c>
      <c r="E4" s="15" t="s">
        <v>139</v>
      </c>
    </row>
    <row r="5" customFormat="false" ht="54" hidden="false" customHeight="true" outlineLevel="0" collapsed="false">
      <c r="A5" s="48" t="s">
        <v>140</v>
      </c>
      <c r="B5" s="23" t="s">
        <v>141</v>
      </c>
      <c r="C5" s="22" t="s">
        <v>142</v>
      </c>
      <c r="D5" s="18" t="s">
        <v>143</v>
      </c>
      <c r="E5" s="49" t="s">
        <v>65</v>
      </c>
    </row>
    <row r="6" customFormat="false" ht="54" hidden="false" customHeight="true" outlineLevel="0" collapsed="false">
      <c r="A6" s="50" t="s">
        <v>144</v>
      </c>
      <c r="B6" s="31" t="s">
        <v>145</v>
      </c>
      <c r="C6" s="30" t="s">
        <v>146</v>
      </c>
      <c r="D6" s="26" t="s">
        <v>143</v>
      </c>
      <c r="E6" s="51" t="s">
        <v>65</v>
      </c>
    </row>
    <row r="7" customFormat="false" ht="54" hidden="false" customHeight="true" outlineLevel="0" collapsed="false">
      <c r="A7" s="48" t="s">
        <v>147</v>
      </c>
      <c r="B7" s="23" t="s">
        <v>148</v>
      </c>
      <c r="C7" s="22" t="s">
        <v>149</v>
      </c>
      <c r="D7" s="18" t="s">
        <v>143</v>
      </c>
      <c r="E7" s="49" t="s">
        <v>77</v>
      </c>
    </row>
    <row r="8" customFormat="false" ht="54" hidden="false" customHeight="true" outlineLevel="0" collapsed="false">
      <c r="A8" s="50" t="s">
        <v>150</v>
      </c>
      <c r="B8" s="31" t="s">
        <v>69</v>
      </c>
      <c r="C8" s="30" t="s">
        <v>151</v>
      </c>
      <c r="D8" s="26" t="s">
        <v>152</v>
      </c>
      <c r="E8" s="51" t="s">
        <v>153</v>
      </c>
    </row>
    <row r="9" customFormat="false" ht="54" hidden="false" customHeight="true" outlineLevel="0" collapsed="false">
      <c r="A9" s="48" t="s">
        <v>154</v>
      </c>
      <c r="B9" s="23" t="s">
        <v>155</v>
      </c>
      <c r="C9" s="22" t="s">
        <v>156</v>
      </c>
      <c r="D9" s="18" t="s">
        <v>143</v>
      </c>
      <c r="E9" s="49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4"/>
  </cols>
  <sheetData>
    <row r="1" customFormat="false" ht="17.35" hidden="false" customHeight="false" outlineLevel="0" collapsed="false">
      <c r="A1" s="4" t="s">
        <v>158</v>
      </c>
    </row>
    <row r="2" customFormat="false" ht="258.95" hidden="false" customHeight="false" outlineLevel="0" collapsed="false">
      <c r="A2" s="14" t="s">
        <v>159</v>
      </c>
    </row>
    <row r="4" customFormat="false" ht="23.85" hidden="false" customHeight="false" outlineLevel="0" collapsed="false">
      <c r="A4" s="15" t="s">
        <v>40</v>
      </c>
      <c r="B4" s="15" t="s">
        <v>160</v>
      </c>
      <c r="C4" s="15" t="s">
        <v>41</v>
      </c>
      <c r="D4" s="15" t="s">
        <v>161</v>
      </c>
      <c r="E4" s="15" t="s">
        <v>162</v>
      </c>
      <c r="F4" s="15" t="s">
        <v>163</v>
      </c>
      <c r="G4" s="15" t="s">
        <v>164</v>
      </c>
      <c r="H4" s="15" t="s">
        <v>165</v>
      </c>
      <c r="I4" s="15" t="s">
        <v>166</v>
      </c>
      <c r="J4" s="15" t="s">
        <v>167</v>
      </c>
      <c r="K4" s="15" t="s">
        <v>168</v>
      </c>
      <c r="L4" s="15" t="s">
        <v>169</v>
      </c>
    </row>
    <row r="5" customFormat="false" ht="39.75" hidden="false" customHeight="true" outlineLevel="0" collapsed="false">
      <c r="A5" s="16" t="s">
        <v>170</v>
      </c>
      <c r="B5" s="22" t="s">
        <v>171</v>
      </c>
      <c r="C5" s="19" t="s">
        <v>52</v>
      </c>
      <c r="D5" s="22" t="s">
        <v>172</v>
      </c>
      <c r="E5" s="52" t="s">
        <v>173</v>
      </c>
      <c r="F5" s="53"/>
      <c r="G5" s="53"/>
      <c r="H5" s="53"/>
      <c r="I5" s="54" t="str">
        <f aca="false">IFERROR((H5-F5)/(G5-F5),"—")</f>
        <v>—</v>
      </c>
      <c r="J5" s="53" t="s">
        <v>174</v>
      </c>
      <c r="K5" s="55"/>
      <c r="L5" s="34" t="s">
        <v>175</v>
      </c>
    </row>
    <row r="6" customFormat="false" ht="39.75" hidden="false" customHeight="true" outlineLevel="0" collapsed="false">
      <c r="A6" s="24" t="s">
        <v>176</v>
      </c>
      <c r="B6" s="30" t="s">
        <v>177</v>
      </c>
      <c r="C6" s="27" t="s">
        <v>60</v>
      </c>
      <c r="D6" s="30" t="s">
        <v>104</v>
      </c>
      <c r="E6" s="56" t="s">
        <v>178</v>
      </c>
      <c r="F6" s="53"/>
      <c r="G6" s="53"/>
      <c r="H6" s="53"/>
      <c r="I6" s="57" t="str">
        <f aca="false">IFERROR((H6-F6)/(G6-F6),"—")</f>
        <v>—</v>
      </c>
      <c r="J6" s="53" t="s">
        <v>174</v>
      </c>
      <c r="K6" s="55"/>
      <c r="L6" s="35" t="s">
        <v>179</v>
      </c>
    </row>
    <row r="7" customFormat="false" ht="39.75" hidden="false" customHeight="true" outlineLevel="0" collapsed="false">
      <c r="A7" s="16" t="s">
        <v>180</v>
      </c>
      <c r="B7" s="22" t="s">
        <v>181</v>
      </c>
      <c r="C7" s="19" t="s">
        <v>66</v>
      </c>
      <c r="D7" s="22" t="s">
        <v>104</v>
      </c>
      <c r="E7" s="52" t="s">
        <v>182</v>
      </c>
      <c r="F7" s="53"/>
      <c r="G7" s="53"/>
      <c r="H7" s="53"/>
      <c r="I7" s="54" t="str">
        <f aca="false">IFERROR((H7-F7)/(G7-F7),"—")</f>
        <v>—</v>
      </c>
      <c r="J7" s="53" t="s">
        <v>174</v>
      </c>
      <c r="K7" s="55"/>
      <c r="L7" s="34" t="s">
        <v>183</v>
      </c>
    </row>
    <row r="8" customFormat="false" ht="39.75" hidden="false" customHeight="true" outlineLevel="0" collapsed="false">
      <c r="A8" s="24" t="s">
        <v>184</v>
      </c>
      <c r="B8" s="30" t="s">
        <v>185</v>
      </c>
      <c r="C8" s="27" t="s">
        <v>72</v>
      </c>
      <c r="D8" s="30" t="s">
        <v>106</v>
      </c>
      <c r="E8" s="56" t="s">
        <v>186</v>
      </c>
      <c r="F8" s="53"/>
      <c r="G8" s="53"/>
      <c r="H8" s="53"/>
      <c r="I8" s="57" t="str">
        <f aca="false">IFERROR((H8-F8)/(G8-F8),"—")</f>
        <v>—</v>
      </c>
      <c r="J8" s="53" t="s">
        <v>174</v>
      </c>
      <c r="K8" s="55"/>
      <c r="L8" s="35" t="s">
        <v>187</v>
      </c>
    </row>
    <row r="9" customFormat="false" ht="39.75" hidden="false" customHeight="true" outlineLevel="0" collapsed="false">
      <c r="A9" s="16" t="s">
        <v>188</v>
      </c>
      <c r="B9" s="22" t="s">
        <v>189</v>
      </c>
      <c r="C9" s="19" t="s">
        <v>78</v>
      </c>
      <c r="D9" s="22" t="s">
        <v>108</v>
      </c>
      <c r="E9" s="52" t="s">
        <v>190</v>
      </c>
      <c r="F9" s="53"/>
      <c r="G9" s="53"/>
      <c r="H9" s="53"/>
      <c r="I9" s="54" t="str">
        <f aca="false">IFERROR((H9-F9)/(G9-F9),"—")</f>
        <v>—</v>
      </c>
      <c r="J9" s="53" t="s">
        <v>174</v>
      </c>
      <c r="K9" s="55"/>
      <c r="L9" s="34" t="s">
        <v>191</v>
      </c>
    </row>
    <row r="12" customFormat="false" ht="15" hidden="false" customHeight="false" outlineLevel="0" collapsed="false">
      <c r="A12" s="36" t="s">
        <v>192</v>
      </c>
    </row>
    <row r="13" customFormat="false" ht="214.15" hidden="false" customHeight="false" outlineLevel="0" collapsed="false">
      <c r="A13" s="14" t="s">
        <v>193</v>
      </c>
    </row>
    <row r="14" customFormat="false" ht="23.85" hidden="false" customHeight="false" outlineLevel="0" collapsed="false">
      <c r="A14" s="15" t="s">
        <v>194</v>
      </c>
      <c r="B14" s="15" t="s">
        <v>163</v>
      </c>
      <c r="C14" s="15" t="s">
        <v>195</v>
      </c>
      <c r="D14" s="15" t="s">
        <v>196</v>
      </c>
      <c r="E14" s="15" t="s">
        <v>197</v>
      </c>
      <c r="F14" s="15" t="s">
        <v>198</v>
      </c>
      <c r="G14" s="15" t="s">
        <v>199</v>
      </c>
    </row>
    <row r="15" customFormat="false" ht="57.45" hidden="false" customHeight="false" outlineLevel="0" collapsed="false">
      <c r="A15" s="17" t="s">
        <v>200</v>
      </c>
      <c r="B15" s="58"/>
      <c r="C15" s="58"/>
      <c r="D15" s="58"/>
      <c r="E15" s="58"/>
      <c r="F15" s="58"/>
      <c r="G15" s="42" t="n">
        <f aca="false">IFERROR(F15-B15,"—")</f>
        <v>0</v>
      </c>
    </row>
    <row r="16" customFormat="false" ht="57.45" hidden="false" customHeight="false" outlineLevel="0" collapsed="false">
      <c r="A16" s="25" t="s">
        <v>201</v>
      </c>
      <c r="B16" s="58"/>
      <c r="C16" s="58"/>
      <c r="D16" s="58"/>
      <c r="E16" s="58"/>
      <c r="F16" s="58"/>
      <c r="G16" s="44" t="n">
        <f aca="false">IFERROR(F16-B16,"—")</f>
        <v>0</v>
      </c>
    </row>
    <row r="17" customFormat="false" ht="35.05" hidden="false" customHeight="false" outlineLevel="0" collapsed="false">
      <c r="A17" s="59" t="s">
        <v>202</v>
      </c>
      <c r="B17" s="41"/>
      <c r="C17" s="41"/>
      <c r="D17" s="41"/>
      <c r="E17" s="41"/>
      <c r="F17" s="41"/>
      <c r="G17" s="60" t="n">
        <f aca="false">IFERROR((F15-B15)-(F16-B16),"—")</f>
        <v>0</v>
      </c>
    </row>
  </sheetData>
  <dataValidations count="1">
    <dataValidation allowBlank="true" errorStyle="stop" operator="between" showDropDown="false" showErrorMessage="false" showInputMessage="false" sqref="J5:J9" type="list">
      <formula1>"Offen,In Umsetzung,Erreicht,Verzögert"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4" t="s">
        <v>203</v>
      </c>
    </row>
    <row r="3" customFormat="false" ht="15" hidden="false" customHeight="true" outlineLevel="0" collapsed="false">
      <c r="A3" s="12" t="s">
        <v>204</v>
      </c>
      <c r="B3" s="13" t="s">
        <v>205</v>
      </c>
      <c r="C3" s="13"/>
      <c r="D3" s="13"/>
      <c r="E3" s="13"/>
      <c r="F3" s="13"/>
    </row>
    <row r="5" customFormat="false" ht="15" hidden="false" customHeight="false" outlineLevel="0" collapsed="false">
      <c r="A5" s="15" t="s">
        <v>206</v>
      </c>
      <c r="B5" s="15" t="s">
        <v>207</v>
      </c>
      <c r="C5" s="15" t="s">
        <v>208</v>
      </c>
    </row>
    <row r="6" customFormat="false" ht="31.5" hidden="false" customHeight="true" outlineLevel="0" collapsed="false">
      <c r="A6" s="50" t="s">
        <v>209</v>
      </c>
      <c r="B6" s="30" t="s">
        <v>210</v>
      </c>
      <c r="C6" s="30" t="s">
        <v>211</v>
      </c>
    </row>
    <row r="7" customFormat="false" ht="31.5" hidden="false" customHeight="true" outlineLevel="0" collapsed="false">
      <c r="A7" s="48" t="s">
        <v>212</v>
      </c>
      <c r="B7" s="22" t="s">
        <v>213</v>
      </c>
      <c r="C7" s="22" t="s">
        <v>214</v>
      </c>
    </row>
    <row r="9" customFormat="false" ht="15" hidden="false" customHeight="false" outlineLevel="0" collapsed="false">
      <c r="A9" s="36" t="s">
        <v>215</v>
      </c>
    </row>
    <row r="10" customFormat="false" ht="15" hidden="false" customHeight="true" outlineLevel="0" collapsed="false">
      <c r="A10" s="12" t="s">
        <v>216</v>
      </c>
      <c r="B10" s="13" t="s">
        <v>217</v>
      </c>
      <c r="C10" s="13"/>
      <c r="D10" s="13"/>
      <c r="E10" s="13"/>
      <c r="F10" s="13"/>
    </row>
    <row r="11" customFormat="false" ht="15" hidden="false" customHeight="true" outlineLevel="0" collapsed="false">
      <c r="A11" s="12" t="s">
        <v>218</v>
      </c>
      <c r="B11" s="13" t="s">
        <v>219</v>
      </c>
      <c r="C11" s="13"/>
      <c r="D11" s="13"/>
      <c r="E11" s="13"/>
      <c r="F11" s="13"/>
    </row>
    <row r="13" customFormat="false" ht="15" hidden="false" customHeight="false" outlineLevel="0" collapsed="false">
      <c r="A13" s="36" t="s">
        <v>220</v>
      </c>
    </row>
    <row r="14" customFormat="false" ht="15" hidden="false" customHeight="true" outlineLevel="0" collapsed="false">
      <c r="A14" s="13" t="s">
        <v>221</v>
      </c>
      <c r="B14" s="13"/>
      <c r="C14" s="13"/>
      <c r="D14" s="13"/>
      <c r="E14" s="13"/>
      <c r="F14" s="13"/>
    </row>
    <row r="15" customFormat="false" ht="15" hidden="false" customHeight="true" outlineLevel="0" collapsed="false">
      <c r="A15" s="13" t="s">
        <v>222</v>
      </c>
      <c r="B15" s="13"/>
      <c r="C15" s="13"/>
      <c r="D15" s="13"/>
      <c r="E15" s="13"/>
      <c r="F15" s="13"/>
    </row>
    <row r="16" customFormat="false" ht="15" hidden="false" customHeight="true" outlineLevel="0" collapsed="false">
      <c r="A16" s="13" t="s">
        <v>223</v>
      </c>
      <c r="B16" s="13"/>
      <c r="C16" s="13"/>
      <c r="D16" s="13"/>
      <c r="E16" s="13"/>
      <c r="F16" s="13"/>
    </row>
    <row r="17" customFormat="false" ht="15" hidden="false" customHeight="true" outlineLevel="0" collapsed="false">
      <c r="A17" s="13" t="s">
        <v>224</v>
      </c>
      <c r="B17" s="13"/>
      <c r="C17" s="13"/>
      <c r="D17" s="13"/>
      <c r="E17" s="13"/>
      <c r="F17" s="13"/>
    </row>
    <row r="18" customFormat="false" ht="15" hidden="false" customHeight="true" outlineLevel="0" collapsed="false">
      <c r="A18" s="13" t="s">
        <v>225</v>
      </c>
      <c r="B18" s="13"/>
      <c r="C18" s="13"/>
      <c r="D18" s="13"/>
      <c r="E18" s="13"/>
      <c r="F18" s="13"/>
    </row>
    <row r="20" customFormat="false" ht="135.8" hidden="false" customHeight="false" outlineLevel="0" collapsed="false">
      <c r="A20" s="14" t="s">
        <v>226</v>
      </c>
    </row>
  </sheetData>
  <mergeCells count="8">
    <mergeCell ref="B3:F3"/>
    <mergeCell ref="B10:F10"/>
    <mergeCell ref="B11:F11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4" t="s">
        <v>227</v>
      </c>
    </row>
    <row r="3" customFormat="false" ht="15" hidden="false" customHeight="false" outlineLevel="0" collapsed="false">
      <c r="A3" s="15" t="s">
        <v>228</v>
      </c>
      <c r="B3" s="15" t="s">
        <v>229</v>
      </c>
      <c r="C3" s="15" t="s">
        <v>230</v>
      </c>
      <c r="D3" s="15" t="s">
        <v>231</v>
      </c>
      <c r="E3" s="15" t="s">
        <v>232</v>
      </c>
      <c r="F3" s="15" t="s">
        <v>233</v>
      </c>
    </row>
    <row r="4" customFormat="false" ht="39.75" hidden="false" customHeight="true" outlineLevel="0" collapsed="false">
      <c r="A4" s="61" t="s">
        <v>234</v>
      </c>
      <c r="B4" s="30" t="s">
        <v>235</v>
      </c>
      <c r="C4" s="30" t="s">
        <v>8</v>
      </c>
      <c r="D4" s="35" t="s">
        <v>236</v>
      </c>
      <c r="E4" s="56" t="s">
        <v>237</v>
      </c>
      <c r="F4" s="62" t="s">
        <v>238</v>
      </c>
    </row>
    <row r="5" customFormat="false" ht="39.75" hidden="false" customHeight="true" outlineLevel="0" collapsed="false">
      <c r="A5" s="63" t="s">
        <v>239</v>
      </c>
      <c r="B5" s="22" t="s">
        <v>240</v>
      </c>
      <c r="C5" s="22" t="s">
        <v>241</v>
      </c>
      <c r="D5" s="34" t="s">
        <v>242</v>
      </c>
      <c r="E5" s="52" t="s">
        <v>243</v>
      </c>
      <c r="F5" s="64" t="s">
        <v>244</v>
      </c>
    </row>
    <row r="6" customFormat="false" ht="39.75" hidden="false" customHeight="true" outlineLevel="0" collapsed="false">
      <c r="A6" s="61" t="s">
        <v>245</v>
      </c>
      <c r="B6" s="30" t="s">
        <v>246</v>
      </c>
      <c r="C6" s="30" t="s">
        <v>247</v>
      </c>
      <c r="D6" s="35" t="s">
        <v>242</v>
      </c>
      <c r="E6" s="56" t="s">
        <v>248</v>
      </c>
      <c r="F6" s="62" t="s">
        <v>249</v>
      </c>
    </row>
    <row r="7" customFormat="false" ht="39.75" hidden="false" customHeight="true" outlineLevel="0" collapsed="false">
      <c r="A7" s="63" t="s">
        <v>250</v>
      </c>
      <c r="B7" s="22" t="s">
        <v>251</v>
      </c>
      <c r="C7" s="22" t="s">
        <v>252</v>
      </c>
      <c r="D7" s="34" t="s">
        <v>242</v>
      </c>
      <c r="E7" s="52" t="s">
        <v>253</v>
      </c>
      <c r="F7" s="64" t="s">
        <v>254</v>
      </c>
    </row>
    <row r="8" customFormat="false" ht="39.75" hidden="false" customHeight="true" outlineLevel="0" collapsed="false">
      <c r="A8" s="61" t="s">
        <v>255</v>
      </c>
      <c r="B8" s="30" t="s">
        <v>256</v>
      </c>
      <c r="C8" s="30" t="s">
        <v>257</v>
      </c>
      <c r="D8" s="35" t="s">
        <v>242</v>
      </c>
      <c r="E8" s="56" t="s">
        <v>253</v>
      </c>
      <c r="F8" s="62" t="s">
        <v>254</v>
      </c>
    </row>
    <row r="9" customFormat="false" ht="39.75" hidden="false" customHeight="true" outlineLevel="0" collapsed="false">
      <c r="A9" s="63" t="s">
        <v>258</v>
      </c>
      <c r="B9" s="22" t="s">
        <v>259</v>
      </c>
      <c r="C9" s="22" t="s">
        <v>260</v>
      </c>
      <c r="D9" s="34" t="s">
        <v>242</v>
      </c>
      <c r="E9" s="52" t="s">
        <v>253</v>
      </c>
      <c r="F9" s="64" t="s">
        <v>261</v>
      </c>
    </row>
    <row r="10" customFormat="false" ht="39.75" hidden="false" customHeight="true" outlineLevel="0" collapsed="false">
      <c r="A10" s="61" t="s">
        <v>262</v>
      </c>
      <c r="B10" s="30" t="s">
        <v>263</v>
      </c>
      <c r="C10" s="30" t="s">
        <v>264</v>
      </c>
      <c r="D10" s="35" t="s">
        <v>242</v>
      </c>
      <c r="E10" s="56" t="s">
        <v>265</v>
      </c>
      <c r="F10" s="62" t="s">
        <v>266</v>
      </c>
    </row>
    <row r="11" customFormat="false" ht="39.75" hidden="false" customHeight="true" outlineLevel="0" collapsed="false">
      <c r="A11" s="63" t="s">
        <v>267</v>
      </c>
      <c r="B11" s="22" t="s">
        <v>268</v>
      </c>
      <c r="C11" s="22" t="s">
        <v>269</v>
      </c>
      <c r="D11" s="34" t="s">
        <v>242</v>
      </c>
      <c r="E11" s="52" t="s">
        <v>270</v>
      </c>
      <c r="F11" s="64" t="s">
        <v>271</v>
      </c>
    </row>
    <row r="13" customFormat="false" ht="15" hidden="false" customHeight="false" outlineLevel="0" collapsed="false">
      <c r="A13" s="36" t="s">
        <v>272</v>
      </c>
    </row>
    <row r="14" customFormat="false" ht="27.75" hidden="false" customHeight="true" outlineLevel="0" collapsed="false">
      <c r="A14" s="65" t="s">
        <v>273</v>
      </c>
      <c r="B14" s="65"/>
      <c r="C14" s="65"/>
      <c r="D14" s="65"/>
      <c r="E14" s="65"/>
      <c r="F14" s="65"/>
    </row>
    <row r="15" customFormat="false" ht="27.75" hidden="false" customHeight="true" outlineLevel="0" collapsed="false">
      <c r="A15" s="65" t="s">
        <v>274</v>
      </c>
      <c r="B15" s="65"/>
      <c r="C15" s="65"/>
      <c r="D15" s="65"/>
      <c r="E15" s="65"/>
      <c r="F15" s="65"/>
    </row>
    <row r="16" customFormat="false" ht="27.75" hidden="false" customHeight="true" outlineLevel="0" collapsed="false">
      <c r="A16" s="65" t="s">
        <v>275</v>
      </c>
      <c r="B16" s="65"/>
      <c r="C16" s="65"/>
      <c r="D16" s="65"/>
      <c r="E16" s="65"/>
      <c r="F16" s="65"/>
    </row>
    <row r="17" customFormat="false" ht="27.75" hidden="false" customHeight="true" outlineLevel="0" collapsed="false">
      <c r="A17" s="65" t="s">
        <v>276</v>
      </c>
      <c r="B17" s="65"/>
      <c r="C17" s="65"/>
      <c r="D17" s="65"/>
      <c r="E17" s="65"/>
      <c r="F17" s="65"/>
    </row>
    <row r="19" customFormat="false" ht="46.25" hidden="false" customHeight="false" outlineLevel="0" collapsed="false">
      <c r="A19" s="14" t="s">
        <v>277</v>
      </c>
    </row>
  </sheetData>
  <mergeCells count="4"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2026-06-16T14:03:11Z</dcterms:created>
  <dc:creator>openpyxl</dc:creator>
  <dc:description/>
  <dc:language>en-US</dc:language>
  <cp:lastModifiedBy/>
  <dcterms:modified xsi:type="dcterms:W3CDTF">2026-06-16T14:03:11Z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